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Inventario_Subsistema" sheetId="2" r:id="rId6"/>
    <sheet state="visible" name="Auditoría_Diseño" sheetId="3" r:id="rId7"/>
    <sheet state="visible" name="BOM_Sourcing" sheetId="4" r:id="rId8"/>
    <sheet state="visible" name="Planificador_Sprint" sheetId="5" r:id="rId9"/>
  </sheets>
  <definedNames/>
  <calcPr/>
</workbook>
</file>

<file path=xl/sharedStrings.xml><?xml version="1.0" encoding="utf-8"?>
<sst xmlns="http://schemas.openxmlformats.org/spreadsheetml/2006/main" count="166" uniqueCount="143">
  <si>
    <t>ID</t>
  </si>
  <si>
    <t>Activo / Módulo</t>
  </si>
  <si>
    <t>Estado del Archivo (Fuente)</t>
  </si>
  <si>
    <t>Nivel de Madurez (¿Qué es esto?)</t>
  </si>
  <si>
    <t>Acción Inmediata</t>
  </si>
  <si>
    <t>HW-01</t>
  </si>
  <si>
    <t>Esquemático Electrónico</t>
  </si>
  <si>
    <t>❌ No existe (Solo hay fotos)</t>
  </si>
  <si>
    <r>
      <rPr>
        <rFont val="Arial"/>
        <b/>
        <color theme="1"/>
      </rPr>
      <t>Nivel 0:</t>
    </r>
    <r>
      <rPr>
        <rFont val="Arial"/>
        <color theme="1"/>
      </rPr>
      <t xml:space="preserve"> Se cambió a ESP32-C3 SuperMini.</t>
    </r>
  </si>
  <si>
    <t>Crear esquemático en KiCad/EasyEDA con el pinout del C3.</t>
  </si>
  <si>
    <t>HW-02</t>
  </si>
  <si>
    <t>Diseño de PCB (Board)</t>
  </si>
  <si>
    <t>❌ No existe</t>
  </si>
  <si>
    <r>
      <rPr>
        <rFont val="Arial"/>
        <b/>
        <color theme="1"/>
      </rPr>
      <t>Nivel 0:</t>
    </r>
    <r>
      <rPr>
        <rFont val="Arial"/>
        <color theme="1"/>
      </rPr>
      <t xml:space="preserve"> Pendiente del esquemático.</t>
    </r>
  </si>
  <si>
    <t>Diseñar PCB circular/alargada (max 18mm ancho).</t>
  </si>
  <si>
    <t>FW-01</t>
  </si>
  <si>
    <t>Firmware (Lógica de Vuelo)</t>
  </si>
  <si>
    <t>⚠️ Pseudocódigo</t>
  </si>
  <si>
    <r>
      <rPr>
        <rFont val="Arial"/>
        <b/>
        <color theme="1"/>
      </rPr>
      <t>Nivel 1:</t>
    </r>
    <r>
      <rPr>
        <rFont val="Arial"/>
        <color theme="1"/>
      </rPr>
      <t xml:space="preserve"> Tenemos la lógica de triggers y estados.</t>
    </r>
  </si>
  <si>
    <t>Traducir pseudocódigo a C++ (Arduino IDE) e integrar librerías.</t>
  </si>
  <si>
    <t>MEC-01</t>
  </si>
  <si>
    <t>Cápsula Interna (Carcasa)</t>
  </si>
  <si>
    <r>
      <rPr>
        <rFont val="Arial"/>
        <b/>
        <color theme="1"/>
      </rPr>
      <t>Nivel 0:</t>
    </r>
    <r>
      <rPr>
        <rFont val="Arial"/>
        <color theme="1"/>
      </rPr>
      <t xml:space="preserve"> Se requiere diseño cilíndrico.</t>
    </r>
  </si>
  <si>
    <t>Medir diámetro interno real de la jabalina y modelar en CAD.</t>
  </si>
  <si>
    <t>DOC-01</t>
  </si>
  <si>
    <t>Servidor Backend (Python)</t>
  </si>
  <si>
    <t>⚠️ Código Base</t>
  </si>
  <si>
    <r>
      <rPr>
        <rFont val="Arial"/>
        <b/>
        <color theme="1"/>
      </rPr>
      <t>Nivel 1:</t>
    </r>
    <r>
      <rPr>
        <rFont val="Arial"/>
        <color theme="1"/>
      </rPr>
      <t xml:space="preserve"> Snippets básicos disponibles.</t>
    </r>
  </si>
  <si>
    <t>Configurar entorno en Render/Heroku y probar base de datos SQLite.</t>
  </si>
  <si>
    <t>Subsistema</t>
  </si>
  <si>
    <t>Componente Clave (Nombre/Ref)</t>
  </si>
  <si>
    <t>Archivo Fuente (¿Lo tengo?)</t>
  </si>
  <si>
    <t>Hoja de Datos (¿La leí?)</t>
  </si>
  <si>
    <t>Estado del Diseño</t>
  </si>
  <si>
    <t>1. Energía</t>
  </si>
  <si>
    <t>Batería LiPo 3.7V (Formato cilíndrico/plano pequeño)</t>
  </si>
  <si>
    <t>N/A (Compra)</t>
  </si>
  <si>
    <t>✅ Sí (Genérica)</t>
  </si>
  <si>
    <t>🟡 Alerta: Verificar que entre en el tubo.</t>
  </si>
  <si>
    <t>Módulo de Carga TP4056</t>
  </si>
  <si>
    <t>N/A (Módulo)</t>
  </si>
  <si>
    <t>✅ Sí</t>
  </si>
  <si>
    <t>🔴 no esta listo</t>
  </si>
  <si>
    <t>2. Control</t>
  </si>
  <si>
    <t>ESP32-C3 SuperMini</t>
  </si>
  <si>
    <t>✅ Pinout Oficial</t>
  </si>
  <si>
    <t>✅ Sí (Espressif)</t>
  </si>
  <si>
    <t>🟢 Definido (Reemplaza al DevKit V1 por tamaño).</t>
  </si>
  <si>
    <t>3. Percepción</t>
  </si>
  <si>
    <t>IMU MPU6050 (o LSM6DS3)</t>
  </si>
  <si>
    <t>✅ Librería Arduino</t>
  </si>
  <si>
    <t>✅ Sí (InvenSense)</t>
  </si>
  <si>
    <t>🟢 Listo (Algoritmo de fusión requerido).</t>
  </si>
  <si>
    <t>4. Interfaz</t>
  </si>
  <si>
    <t>Buzzer Pasivo / LED RGB</t>
  </si>
  <si>
    <t>N/A</t>
  </si>
  <si>
    <t>🟢 Definido (Feedback sonoro/visual).</t>
  </si>
  <si>
    <t>5. Mecánica</t>
  </si>
  <si>
    <t>Tapa Trasera (Material RF-Transparente)</t>
  </si>
  <si>
    <t>❌ Pendiente CAD</t>
  </si>
  <si>
    <t>🔴 BLOQUEANTE: Necesaria para que salga la señal WiFi.</t>
  </si>
  <si>
    <t>Elemento Crítico</t>
  </si>
  <si>
    <t>Veredicto (Pasa/Falla)</t>
  </si>
  <si>
    <t>EVIDENCIA OBLIGATORIA (No Opiniones)</t>
  </si>
  <si>
    <t>Acción Requerida</t>
  </si>
  <si>
    <t>Percepción</t>
  </si>
  <si>
    <t>Sensor Ultrasónico HC-SR04</t>
  </si>
  <si>
    <t>🔴 Falla</t>
  </si>
  <si>
    <t>Mecánica: El sensor es plano y grande, no cabe dentro de una jabalina aerodinámica.</t>
  </si>
  <si>
    <t>Reemplazar por cálculo matemático usando IMU (Integración de Aceleración).</t>
  </si>
  <si>
    <t>Control</t>
  </si>
  <si>
    <t>ESP32 DevKit V1 (Estándar)</t>
  </si>
  <si>
    <t>Mecánica: Ancho de 28mm. No entra en la mayoría de jabalinas (tubo estrecho).</t>
  </si>
  <si>
    <t>Cambiar a ESP32-C3 SuperMini (Ancho ~18mm) o Seeed Xiao.</t>
  </si>
  <si>
    <t>Energía</t>
  </si>
  <si>
    <t>Batería 3000mAh</t>
  </si>
  <si>
    <t>🟡 Riesgo</t>
  </si>
  <si>
    <t>Física: Peso excesivo altera el Centro de Gravedad (CG) de la jabalina.</t>
  </si>
  <si>
    <t>Reducir a 400-800mAh. Priorizar balance sobre autonomía (lanzamiento dura segundos).</t>
  </si>
  <si>
    <t>Comms</t>
  </si>
  <si>
    <t>Antena WiFi (PCB Trace)</t>
  </si>
  <si>
    <t>RF: El cuerpo de aluminio de la jabalina actúa como Jaula de Faraday.</t>
  </si>
  <si>
    <t>Diseñar tapa plástica en la cola para exponer la antena o sacar antena de hilo.</t>
  </si>
  <si>
    <t>Acelerómetro ±16g</t>
  </si>
  <si>
    <t>🟢 Pasa</t>
  </si>
  <si>
    <t>Requisito: Aunque el pico puede superar 16g, es el estándar académico (Costo/Beneficio).</t>
  </si>
  <si>
    <t>Implementar filtro de software para manejar saturación.</t>
  </si>
  <si>
    <t>Nivel</t>
  </si>
  <si>
    <t>Ítem (Descripción)</t>
  </si>
  <si>
    <t>MPN (Manufacturer Part Number)</t>
  </si>
  <si>
    <t>Proveedor (Link)</t>
  </si>
  <si>
    <t>Costo Unit.</t>
  </si>
  <si>
    <t>Tiempo de Entrega (Lead Time)</t>
  </si>
  <si>
    <t>Semáforo de Riesgo</t>
  </si>
  <si>
    <t>Crítico</t>
  </si>
  <si>
    <t>Microcontrolador (Tamaño Mini)</t>
  </si>
  <si>
    <t>AliExpress / Local</t>
  </si>
  <si>
    <t>5 Días</t>
  </si>
  <si>
    <t>🟡 AMARILLO (Pedir HOY)</t>
  </si>
  <si>
    <t>Sensor IMU (6 Ejes)</t>
  </si>
  <si>
    <t>GY-521 (MPU6050)</t>
  </si>
  <si>
    <t>Tienda Electrónica</t>
  </si>
  <si>
    <t>Inmediato</t>
  </si>
  <si>
    <t>🟢 VERDE</t>
  </si>
  <si>
    <t>Batería LiPo Pequeña</t>
  </si>
  <si>
    <t>3.7V 500mAh</t>
  </si>
  <si>
    <t>Tienda Aeromodelismo</t>
  </si>
  <si>
    <t>3 Días</t>
  </si>
  <si>
    <t>🟡 AMARILLO (Medir tamaño antes)</t>
  </si>
  <si>
    <t>Medio</t>
  </si>
  <si>
    <t>Cargador Batería</t>
  </si>
  <si>
    <t>TP4056 (USB-C)</t>
  </si>
  <si>
    <t>Local</t>
  </si>
  <si>
    <t>🟢 VERDE (Proceder)</t>
  </si>
  <si>
    <t>Bajo</t>
  </si>
  <si>
    <t>Feedback Usuario</t>
  </si>
  <si>
    <t>Buzzer Piezo 5v</t>
  </si>
  <si>
    <t>Botón Calibración</t>
  </si>
  <si>
    <t>Micro Pulsador SMD</t>
  </si>
  <si>
    <t>Tipo de Tarea</t>
  </si>
  <si>
    <t>Descripción de la Tarea</t>
  </si>
  <si>
    <t>Criterio de "Terminado" (Definition of Done)</t>
  </si>
  <si>
    <t>Fecha Límite</t>
  </si>
  <si>
    <t>Compras</t>
  </si>
  <si>
    <t>Adquirir ESP32-C3 y MPU6050.</t>
  </si>
  <si>
    <t>Componentes en mano y probados con "Blink".</t>
  </si>
  <si>
    <t>Semana 1</t>
  </si>
  <si>
    <t>Firmware</t>
  </si>
  <si>
    <t>Lectura de Datos Crudos (IMU).</t>
  </si>
  <si>
    <t>Ver valores X,Y,Z y Giroscopio en Monitor Serial.</t>
  </si>
  <si>
    <t>Semana 2</t>
  </si>
  <si>
    <t>Implementar Algoritmo "Trigger".</t>
  </si>
  <si>
    <t>El ESP32 detecta cuándo se lanza y cuándo aterriza (Máquina de Estados).</t>
  </si>
  <si>
    <t>Matemáticas (Vel/Dist/Angulo).</t>
  </si>
  <si>
    <t>El serial imprime: "Distancia: 45m" tras mover el sensor con la mano.</t>
  </si>
  <si>
    <t>Semana 3</t>
  </si>
  <si>
    <t>Backend</t>
  </si>
  <si>
    <t>Servidor Básico Flask + Render.</t>
  </si>
  <si>
    <t>Enviar un JSON de prueba desde Postman y verlo en la web.</t>
  </si>
  <si>
    <t>Integración</t>
  </si>
  <si>
    <t>Conexión ESP32 -&gt; Servidor.</t>
  </si>
  <si>
    <t>El ESP32 envía datos reales al servidor tras detectar "Aterrizaje".</t>
  </si>
  <si>
    <t>Semana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</si>
</sst>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6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theme="1"/>
      <name val="Arial"/>
    </font>
    <font>
      <color rgb="FF1F1F1F"/>
      <name val="&quot;Google Sans Text&quot;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horizontal="left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5" xfId="0" applyAlignment="1" applyFont="1" applyNumberFormat="1">
      <alignment horizontal="lef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Invent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ario_Subsiste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ditoría_Diseñ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M_Sourc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ificador_Spri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Matriz_Inventario" name="Matriz_Inventario" id="1">
  <tableColumns count="5">
    <tableColumn name="ID" id="1"/>
    <tableColumn name="Activo / Módulo" id="2"/>
    <tableColumn name="Estado del Archivo (Fuente)" id="3"/>
    <tableColumn name="Nivel de Madurez (¿Qué es esto?)" id="4"/>
    <tableColumn name="Acción Inmediata" id="5"/>
  </tableColumns>
  <tableStyleInfo name="Inventario-style" showColumnStripes="0" showFirstColumn="1" showLastColumn="1" showRowStripes="1"/>
</table>
</file>

<file path=xl/tables/table2.xml><?xml version="1.0" encoding="utf-8"?>
<table xmlns="http://schemas.openxmlformats.org/spreadsheetml/2006/main" ref="A1:E7" displayName="Inventario_Subsistemas" name="Inventario_Subsistemas" id="2">
  <tableColumns count="5">
    <tableColumn name="Subsistema" id="1"/>
    <tableColumn name="Componente Clave (Nombre/Ref)" id="2"/>
    <tableColumn name="Archivo Fuente (¿Lo tengo?)" id="3"/>
    <tableColumn name="Hoja de Datos (¿La leí?)" id="4"/>
    <tableColumn name="Estado del Diseño" id="5"/>
  </tableColumns>
  <tableStyleInfo name="Inventario_Subsistema-style" showColumnStripes="0" showFirstColumn="1" showLastColumn="1" showRowStripes="1"/>
</table>
</file>

<file path=xl/tables/table3.xml><?xml version="1.0" encoding="utf-8"?>
<table xmlns="http://schemas.openxmlformats.org/spreadsheetml/2006/main" ref="A1:E6" displayName="Matriz_Auditoría" name="Matriz_Auditoría" id="3">
  <tableColumns count="5">
    <tableColumn name="Subsistema" id="1"/>
    <tableColumn name="Elemento Crítico" id="2"/>
    <tableColumn name="Veredicto (Pasa/Falla)" id="3"/>
    <tableColumn name="EVIDENCIA OBLIGATORIA (No Opiniones)" id="4"/>
    <tableColumn name="Acción Requerida" id="5"/>
  </tableColumns>
  <tableStyleInfo name="Auditoría_Diseño-style" showColumnStripes="0" showFirstColumn="1" showLastColumn="1" showRowStripes="1"/>
</table>
</file>

<file path=xl/tables/table4.xml><?xml version="1.0" encoding="utf-8"?>
<table xmlns="http://schemas.openxmlformats.org/spreadsheetml/2006/main" ref="A1:G7" displayName="Tabla_1" name="Tabla_1" id="4">
  <tableColumns count="7">
    <tableColumn name="Nivel" id="1"/>
    <tableColumn name="Ítem (Descripción)" id="2"/>
    <tableColumn name="MPN (Manufacturer Part Number)" id="3"/>
    <tableColumn name="Proveedor (Link)" id="4"/>
    <tableColumn name="Costo Unit." id="5"/>
    <tableColumn name="Tiempo de Entrega (Lead Time)" id="6"/>
    <tableColumn name="Semáforo de Riesgo" id="7"/>
  </tableColumns>
  <tableStyleInfo name="BOM_Sourcing-style" showColumnStripes="0" showFirstColumn="1" showLastColumn="1" showRowStripes="1"/>
</table>
</file>

<file path=xl/tables/table5.xml><?xml version="1.0" encoding="utf-8"?>
<table xmlns="http://schemas.openxmlformats.org/spreadsheetml/2006/main" ref="A1:D7" displayName="Planificador_Sprint" name="Planificador_Sprint" id="5">
  <tableColumns count="4">
    <tableColumn name="Tipo de Tarea" id="1"/>
    <tableColumn name="Descripción de la Tarea" id="2"/>
    <tableColumn name="Criterio de &quot;Terminado&quot; (Definition of Done)" id="3"/>
    <tableColumn name="Fecha Límite" id="4"/>
  </tableColumns>
  <tableStyleInfo name="Planificador_Spri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  <col customWidth="1" min="3" max="3" width="26.38"/>
    <col customWidth="1" min="4" max="4" width="37.63"/>
    <col customWidth="1" min="5" max="5" width="6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 t="s">
        <v>7</v>
      </c>
      <c r="D2" s="5" t="s">
        <v>8</v>
      </c>
      <c r="E2" s="4" t="s">
        <v>9</v>
      </c>
    </row>
    <row r="3" ht="22.5" customHeight="1">
      <c r="A3" s="2" t="s">
        <v>10</v>
      </c>
      <c r="B3" s="3" t="s">
        <v>11</v>
      </c>
      <c r="C3" s="4" t="s">
        <v>12</v>
      </c>
      <c r="D3" s="5" t="s">
        <v>13</v>
      </c>
      <c r="E3" s="6" t="s">
        <v>14</v>
      </c>
    </row>
    <row r="4" ht="22.5" customHeight="1">
      <c r="A4" s="2" t="s">
        <v>15</v>
      </c>
      <c r="B4" s="3" t="s">
        <v>16</v>
      </c>
      <c r="C4" s="4" t="s">
        <v>17</v>
      </c>
      <c r="D4" s="5" t="s">
        <v>18</v>
      </c>
      <c r="E4" s="4" t="s">
        <v>19</v>
      </c>
    </row>
    <row r="5" ht="22.5" customHeight="1">
      <c r="A5" s="2" t="s">
        <v>20</v>
      </c>
      <c r="B5" s="3" t="s">
        <v>21</v>
      </c>
      <c r="C5" s="4" t="s">
        <v>12</v>
      </c>
      <c r="D5" s="5" t="s">
        <v>22</v>
      </c>
      <c r="E5" s="4" t="s">
        <v>23</v>
      </c>
    </row>
    <row r="6" ht="22.5" customHeight="1">
      <c r="A6" s="2" t="s">
        <v>24</v>
      </c>
      <c r="B6" s="3" t="s">
        <v>25</v>
      </c>
      <c r="C6" s="4" t="s">
        <v>26</v>
      </c>
      <c r="D6" s="5" t="s">
        <v>27</v>
      </c>
      <c r="E6" s="4" t="s">
        <v>28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42.63"/>
    <col customWidth="1" min="3" max="3" width="26.63"/>
    <col customWidth="1" min="4" max="4" width="23.25"/>
    <col customWidth="1" min="5" max="5" width="49.38"/>
  </cols>
  <sheetData>
    <row r="1" ht="22.5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ht="22.5" customHeight="1">
      <c r="A2" s="2" t="s">
        <v>34</v>
      </c>
      <c r="B2" s="3" t="s">
        <v>35</v>
      </c>
      <c r="C2" s="3" t="s">
        <v>36</v>
      </c>
      <c r="D2" s="3" t="s">
        <v>37</v>
      </c>
      <c r="E2" s="3" t="s">
        <v>38</v>
      </c>
    </row>
    <row r="3" ht="22.5" customHeight="1">
      <c r="A3" s="2" t="s">
        <v>34</v>
      </c>
      <c r="B3" s="3" t="s">
        <v>39</v>
      </c>
      <c r="C3" s="3" t="s">
        <v>40</v>
      </c>
      <c r="D3" s="3" t="s">
        <v>41</v>
      </c>
      <c r="E3" s="5" t="s">
        <v>42</v>
      </c>
    </row>
    <row r="4" ht="22.5" customHeight="1">
      <c r="A4" s="2" t="s">
        <v>43</v>
      </c>
      <c r="B4" s="3" t="s">
        <v>44</v>
      </c>
      <c r="C4" s="3" t="s">
        <v>45</v>
      </c>
      <c r="D4" s="3" t="s">
        <v>46</v>
      </c>
      <c r="E4" s="3" t="s">
        <v>47</v>
      </c>
    </row>
    <row r="5" ht="22.5" customHeight="1">
      <c r="A5" s="2" t="s">
        <v>48</v>
      </c>
      <c r="B5" s="3" t="s">
        <v>49</v>
      </c>
      <c r="C5" s="3" t="s">
        <v>50</v>
      </c>
      <c r="D5" s="3" t="s">
        <v>51</v>
      </c>
      <c r="E5" s="3" t="s">
        <v>52</v>
      </c>
    </row>
    <row r="6" ht="22.5" customHeight="1">
      <c r="A6" s="2" t="s">
        <v>53</v>
      </c>
      <c r="B6" s="3" t="s">
        <v>54</v>
      </c>
      <c r="C6" s="3" t="s">
        <v>55</v>
      </c>
      <c r="D6" s="3" t="s">
        <v>55</v>
      </c>
      <c r="E6" s="3" t="s">
        <v>56</v>
      </c>
    </row>
    <row r="7" ht="22.5" customHeight="1">
      <c r="A7" s="2" t="s">
        <v>57</v>
      </c>
      <c r="B7" s="3" t="s">
        <v>58</v>
      </c>
      <c r="C7" s="3" t="s">
        <v>59</v>
      </c>
      <c r="D7" s="3" t="s">
        <v>55</v>
      </c>
      <c r="E7" s="3" t="s">
        <v>60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8.25"/>
    <col customWidth="1" min="3" max="3" width="25.13"/>
    <col customWidth="1" min="4" max="4" width="72.88"/>
    <col customWidth="1" min="5" max="5" width="68.88"/>
  </cols>
  <sheetData>
    <row r="1" ht="22.5" customHeight="1">
      <c r="A1" s="1" t="s">
        <v>29</v>
      </c>
      <c r="B1" s="1" t="s">
        <v>61</v>
      </c>
      <c r="C1" s="1" t="s">
        <v>62</v>
      </c>
      <c r="D1" s="1" t="s">
        <v>63</v>
      </c>
      <c r="E1" s="1" t="s">
        <v>64</v>
      </c>
    </row>
    <row r="2" ht="22.5" customHeight="1">
      <c r="A2" s="7" t="s">
        <v>65</v>
      </c>
      <c r="B2" s="3" t="s">
        <v>66</v>
      </c>
      <c r="C2" s="8" t="s">
        <v>67</v>
      </c>
      <c r="D2" s="3" t="s">
        <v>68</v>
      </c>
      <c r="E2" s="3" t="s">
        <v>69</v>
      </c>
    </row>
    <row r="3" ht="22.5" customHeight="1">
      <c r="A3" s="7" t="s">
        <v>70</v>
      </c>
      <c r="B3" s="3" t="s">
        <v>71</v>
      </c>
      <c r="C3" s="8" t="s">
        <v>67</v>
      </c>
      <c r="D3" s="3" t="s">
        <v>72</v>
      </c>
      <c r="E3" s="3" t="s">
        <v>73</v>
      </c>
    </row>
    <row r="4" ht="22.5" customHeight="1">
      <c r="A4" s="7" t="s">
        <v>74</v>
      </c>
      <c r="B4" s="3" t="s">
        <v>75</v>
      </c>
      <c r="C4" s="8" t="s">
        <v>76</v>
      </c>
      <c r="D4" s="3" t="s">
        <v>77</v>
      </c>
      <c r="E4" s="3" t="s">
        <v>78</v>
      </c>
    </row>
    <row r="5" ht="22.5" customHeight="1">
      <c r="A5" s="7" t="s">
        <v>79</v>
      </c>
      <c r="B5" s="3" t="s">
        <v>80</v>
      </c>
      <c r="C5" s="8" t="s">
        <v>76</v>
      </c>
      <c r="D5" s="3" t="s">
        <v>81</v>
      </c>
      <c r="E5" s="3" t="s">
        <v>82</v>
      </c>
    </row>
    <row r="6" ht="22.5" customHeight="1">
      <c r="A6" s="7" t="s">
        <v>65</v>
      </c>
      <c r="B6" s="3" t="s">
        <v>83</v>
      </c>
      <c r="C6" s="8" t="s">
        <v>84</v>
      </c>
      <c r="D6" s="3" t="s">
        <v>85</v>
      </c>
      <c r="E6" s="3" t="s">
        <v>86</v>
      </c>
    </row>
  </sheetData>
  <dataValidations>
    <dataValidation type="list" allowBlank="1" sqref="C2:C6">
      <formula1>"🔴 Falla,🟢 Pasa,🟡 Riesgo"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25"/>
    <col customWidth="1" min="3" max="3" width="31.0"/>
    <col customWidth="1" min="4" max="4" width="28.38"/>
    <col customWidth="1" min="5" max="5" width="13.88"/>
    <col customWidth="1" min="6" max="6" width="29.25"/>
    <col customWidth="1" min="7" max="7" width="44.5"/>
  </cols>
  <sheetData>
    <row r="1" ht="22.5" customHeight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ht="22.5" customHeight="1">
      <c r="A2" s="9" t="s">
        <v>94</v>
      </c>
      <c r="B2" s="3" t="s">
        <v>95</v>
      </c>
      <c r="C2" s="3" t="s">
        <v>44</v>
      </c>
      <c r="D2" s="3" t="s">
        <v>96</v>
      </c>
      <c r="E2" s="10">
        <v>25.0</v>
      </c>
      <c r="F2" s="3" t="s">
        <v>97</v>
      </c>
      <c r="G2" s="11" t="s">
        <v>98</v>
      </c>
    </row>
    <row r="3" ht="22.5" customHeight="1">
      <c r="A3" s="9" t="s">
        <v>94</v>
      </c>
      <c r="B3" s="3" t="s">
        <v>99</v>
      </c>
      <c r="C3" s="3" t="s">
        <v>100</v>
      </c>
      <c r="D3" s="3" t="s">
        <v>101</v>
      </c>
      <c r="E3" s="10">
        <v>15.0</v>
      </c>
      <c r="F3" s="3" t="s">
        <v>102</v>
      </c>
      <c r="G3" s="12" t="s">
        <v>103</v>
      </c>
    </row>
    <row r="4" ht="22.5" customHeight="1">
      <c r="A4" s="9" t="s">
        <v>94</v>
      </c>
      <c r="B4" s="3" t="s">
        <v>104</v>
      </c>
      <c r="C4" s="3" t="s">
        <v>105</v>
      </c>
      <c r="D4" s="3" t="s">
        <v>106</v>
      </c>
      <c r="E4" s="10">
        <v>25.0</v>
      </c>
      <c r="F4" s="3" t="s">
        <v>107</v>
      </c>
      <c r="G4" s="12" t="s">
        <v>108</v>
      </c>
    </row>
    <row r="5" ht="22.5" customHeight="1">
      <c r="A5" s="9" t="s">
        <v>109</v>
      </c>
      <c r="B5" s="3" t="s">
        <v>110</v>
      </c>
      <c r="C5" s="3" t="s">
        <v>111</v>
      </c>
      <c r="D5" s="3" t="s">
        <v>112</v>
      </c>
      <c r="E5" s="10">
        <v>5.0</v>
      </c>
      <c r="F5" s="3" t="s">
        <v>102</v>
      </c>
      <c r="G5" s="11" t="s">
        <v>113</v>
      </c>
    </row>
    <row r="6" ht="22.5" customHeight="1">
      <c r="A6" s="9" t="s">
        <v>114</v>
      </c>
      <c r="B6" s="3" t="s">
        <v>115</v>
      </c>
      <c r="C6" s="3" t="s">
        <v>116</v>
      </c>
      <c r="D6" s="3" t="s">
        <v>112</v>
      </c>
      <c r="E6" s="10">
        <v>2.0</v>
      </c>
      <c r="F6" s="3" t="s">
        <v>102</v>
      </c>
      <c r="G6" s="12" t="s">
        <v>103</v>
      </c>
    </row>
    <row r="7" ht="22.5" customHeight="1">
      <c r="A7" s="9" t="s">
        <v>114</v>
      </c>
      <c r="B7" s="3" t="s">
        <v>117</v>
      </c>
      <c r="C7" s="3" t="s">
        <v>118</v>
      </c>
      <c r="D7" s="3" t="s">
        <v>112</v>
      </c>
      <c r="E7" s="13">
        <v>500.0</v>
      </c>
      <c r="F7" s="3" t="s">
        <v>102</v>
      </c>
      <c r="G7" s="12" t="s">
        <v>103</v>
      </c>
    </row>
  </sheetData>
  <dataValidations>
    <dataValidation type="list" allowBlank="1" sqref="A2:A7">
      <formula1>"Crítico,Medio,Bajo"</formula1>
    </dataValidation>
    <dataValidation type="list" allowBlank="1" sqref="G2:G7">
      <formula1>"🟢 VERDE (Proceder),🟡 AMARILLO (Pedir HOY),🔴 ROJO (BLOQUEANTE - Cambiar Proveedor)"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37.63"/>
    <col customWidth="1" min="3" max="3" width="61.5"/>
    <col customWidth="1" min="4" max="4" width="16.88"/>
  </cols>
  <sheetData>
    <row r="1" ht="22.5" customHeight="1">
      <c r="A1" s="1" t="s">
        <v>119</v>
      </c>
      <c r="B1" s="1" t="s">
        <v>120</v>
      </c>
      <c r="C1" s="1" t="s">
        <v>121</v>
      </c>
      <c r="D1" s="1" t="s">
        <v>122</v>
      </c>
    </row>
    <row r="2" ht="22.5" customHeight="1">
      <c r="A2" s="2" t="s">
        <v>123</v>
      </c>
      <c r="B2" s="4" t="s">
        <v>124</v>
      </c>
      <c r="C2" s="4" t="s">
        <v>125</v>
      </c>
      <c r="D2" s="4" t="s">
        <v>126</v>
      </c>
    </row>
    <row r="3" ht="22.5" customHeight="1">
      <c r="A3" s="2" t="s">
        <v>127</v>
      </c>
      <c r="B3" s="4" t="s">
        <v>128</v>
      </c>
      <c r="C3" s="4" t="s">
        <v>129</v>
      </c>
      <c r="D3" s="4" t="s">
        <v>130</v>
      </c>
    </row>
    <row r="4" ht="22.5" customHeight="1">
      <c r="A4" s="2" t="s">
        <v>127</v>
      </c>
      <c r="B4" s="4" t="s">
        <v>131</v>
      </c>
      <c r="C4" s="4" t="s">
        <v>132</v>
      </c>
      <c r="D4" s="4" t="s">
        <v>130</v>
      </c>
    </row>
    <row r="5" ht="22.5" customHeight="1">
      <c r="A5" s="2" t="s">
        <v>127</v>
      </c>
      <c r="B5" s="4" t="s">
        <v>133</v>
      </c>
      <c r="C5" s="4" t="s">
        <v>134</v>
      </c>
      <c r="D5" s="4" t="s">
        <v>135</v>
      </c>
    </row>
    <row r="6" ht="22.5" customHeight="1">
      <c r="A6" s="2" t="s">
        <v>136</v>
      </c>
      <c r="B6" s="4" t="s">
        <v>137</v>
      </c>
      <c r="C6" s="4" t="s">
        <v>138</v>
      </c>
      <c r="D6" s="4" t="s">
        <v>135</v>
      </c>
    </row>
    <row r="7" ht="22.5" customHeight="1">
      <c r="A7" s="2" t="s">
        <v>139</v>
      </c>
      <c r="B7" s="4" t="s">
        <v>140</v>
      </c>
      <c r="C7" s="4" t="s">
        <v>141</v>
      </c>
      <c r="D7" s="4" t="s">
        <v>142</v>
      </c>
    </row>
  </sheetData>
  <drawing r:id="rId1"/>
  <tableParts count="1">
    <tablePart r:id="rId3"/>
  </tableParts>
</worksheet>
</file>